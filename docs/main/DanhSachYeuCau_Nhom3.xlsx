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ăm 3\CNPM\Nhóm 3 - QL KTX\"/>
    </mc:Choice>
  </mc:AlternateContent>
  <xr:revisionPtr revIDLastSave="0" documentId="13_ncr:1_{21A32BFA-2B41-449C-8DF1-1BDA1B843EB8}" xr6:coauthVersionLast="47" xr6:coauthVersionMax="47" xr10:uidLastSave="{00000000-0000-0000-0000-000000000000}"/>
  <bookViews>
    <workbookView xWindow="-108" yWindow="-108" windowWidth="23256" windowHeight="12456" xr2:uid="{035D5902-0CB8-4277-968E-B4493D198863}"/>
  </bookViews>
  <sheets>
    <sheet name="Danh sách" sheetId="1" r:id="rId1"/>
  </sheet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8" i="1" l="1"/>
  <c r="B47" i="1"/>
  <c r="B46" i="1"/>
  <c r="B45" i="1"/>
  <c r="B49" i="1" l="1"/>
</calcChain>
</file>

<file path=xl/sharedStrings.xml><?xml version="1.0" encoding="utf-8"?>
<sst xmlns="http://schemas.openxmlformats.org/spreadsheetml/2006/main" count="291" uniqueCount="156">
  <si>
    <t>ID</t>
  </si>
  <si>
    <t>Loại</t>
  </si>
  <si>
    <t>Sub-type</t>
  </si>
  <si>
    <t>User Story</t>
  </si>
  <si>
    <t>Acceptance Criteria</t>
  </si>
  <si>
    <t>MoSCoW</t>
  </si>
  <si>
    <t>Nguồn</t>
  </si>
  <si>
    <t>Ngày</t>
  </si>
  <si>
    <t>REQ-001</t>
  </si>
  <si>
    <t>F</t>
  </si>
  <si>
    <t>M</t>
  </si>
  <si>
    <t>REQ-002</t>
  </si>
  <si>
    <t>AC-2.1: Given SV đã có phòng đang ở, When SV mở mục "Hóa đơn", Then hệ thống hiển thị chỉ số cũ, chỉ số mới và thành tiền của tháng hiện tại.
AC-2.2: Given SV đang xem hóa đơn, When SV nhấn "Tải PDF", Then hệ thống xuất file hóa đơn định dạng PDF.</t>
  </si>
  <si>
    <t>REQ-003</t>
  </si>
  <si>
    <t>S</t>
  </si>
  <si>
    <t>REQ-004</t>
  </si>
  <si>
    <t>REQ-005</t>
  </si>
  <si>
    <t>REQ-006</t>
  </si>
  <si>
    <t>REQ-007</t>
  </si>
  <si>
    <t>C</t>
  </si>
  <si>
    <t>REQ-008</t>
  </si>
  <si>
    <t>As a Admin,
I want cấu hình mức giảm giá tiền phòng cho SV thuộc diện chính sách (mồ côi, hộ nghèo, học bổng, khuyết tật),
so that hỗ trợ đúng đối tượng cần giúp đỡ theo quy định của trường</t>
  </si>
  <si>
    <t>REQ-009</t>
  </si>
  <si>
    <t>REQ-010</t>
  </si>
  <si>
    <t>REQ-011</t>
  </si>
  <si>
    <t>REQ-012</t>
  </si>
  <si>
    <t>REQ-013</t>
  </si>
  <si>
    <t>REQ-014</t>
  </si>
  <si>
    <t>REQ-015</t>
  </si>
  <si>
    <t>REQ-016</t>
  </si>
  <si>
    <t>REQ-017</t>
  </si>
  <si>
    <t>As a SV,
I want đăng ký tham gia hoạt động công ích do BQL tổ chức và được ghi nhận điểm sau khi hoàn thành,
so that tích lũy điểm để đổi ưu đãi</t>
  </si>
  <si>
    <t>REQ-018</t>
  </si>
  <si>
    <t>REQ-019</t>
  </si>
  <si>
    <t>NF</t>
  </si>
  <si>
    <t>Security</t>
  </si>
  <si>
    <t>REQ-020</t>
  </si>
  <si>
    <t>REQ-021</t>
  </si>
  <si>
    <t>Performance Efficiency</t>
  </si>
  <si>
    <t>As a người dùng, I want hệ thống phản hồi nhanh, so that không phải chờ đợi</t>
  </si>
  <si>
    <t>REQ-022</t>
  </si>
  <si>
    <t>REQ-023</t>
  </si>
  <si>
    <t>Usability</t>
  </si>
  <si>
    <t>REQ-024</t>
  </si>
  <si>
    <t>REQ-025</t>
  </si>
  <si>
    <t>Reliability</t>
  </si>
  <si>
    <t>REQ-026</t>
  </si>
  <si>
    <t>Maintainability</t>
  </si>
  <si>
    <t>REQ-027</t>
  </si>
  <si>
    <t>Portability</t>
  </si>
  <si>
    <t>REQ-028</t>
  </si>
  <si>
    <t>As a hệ thống,
I want kiểm soát các phiên đăng nhập,
so that tránh bị đánh cắp tài khoản.</t>
  </si>
  <si>
    <t>REQ-029</t>
  </si>
  <si>
    <t>REQ-030</t>
  </si>
  <si>
    <t>REQ-031</t>
  </si>
  <si>
    <t>As a người bảo trì hệ thống,
I want xem nhật ký lỗi (error log) của hệ thống,
so that phát hiện và xử lý sự cố kịp thời trước khi ảnh hưởng đến người dùng.</t>
  </si>
  <si>
    <t>REQ-032</t>
  </si>
  <si>
    <t>As a người bảo trì hệ thống,
I want nhận cảnh báo khi hệ thống gặp sự cố nghiêm trọng (server ngừng hoạt động, backup thất bại),
so that xử lý ngay để giảm thời gian gián đoạn dịch vụ</t>
  </si>
  <si>
    <t>Thống kê (tự động)</t>
  </si>
  <si>
    <t>Tổng số yêu cầu:</t>
  </si>
  <si>
    <t>Số Functional:</t>
  </si>
  <si>
    <t>Số Non-functional:</t>
  </si>
  <si>
    <t>Số Must have:</t>
  </si>
  <si>
    <t>Tỷ lệ Must (cần ≤60%):</t>
  </si>
  <si>
    <t>As a kế toán, 
I want xuất báo cáo tài chính hàng tháng, 
so that theo dõi tình hình thu chi ký túc xá</t>
  </si>
  <si>
    <t>As a kế toán, 
I want đề xuất thay đổi đơn giá dịch vụ (điện, nước, wifi) theo quy định nhà nước, 
so that áp dụng đúng theo quy định</t>
  </si>
  <si>
    <t>REQ-033</t>
  </si>
  <si>
    <t>REQ-034</t>
  </si>
  <si>
    <t>REQ-035</t>
  </si>
  <si>
    <t>As a bảo vệ,
I want xác nhận thông tin khách đã được SV khai báo khi khách đến cổng KTX,
so that đảm bảo an ninh và tránh người lạ ra vào không kiểm soát</t>
  </si>
  <si>
    <t>As a nhân viên kỹ thuật/hành chính,
I want nhập chỉ số điện nước hàng loạt cho các phòng,
so that ghi nhận số liệu tiêu thụ chính xác và kịp thời.</t>
  </si>
  <si>
    <t>As a nhân viên kỹ thuật/hành chính,
I want quản lý danh mục vật tư trong ký túc xá (giường, tủ, máy lạnh),
so that kiểm soát và bảo trì tài sản kịp thời.</t>
  </si>
  <si>
    <t>As a nhân viên kỹ thuật/hành chính,
I want tiếp nhận và cập nhật trạng thái xử lý các yêu cầu sửa chữa từ SV,
so that theo dõi tiến độ và đảm bảo thiết bị được sửa chữa kịp thời</t>
  </si>
  <si>
    <t>As a SV, 
I want đăng ký phòng trực tuyến, 
so that tiết kiệm thời gian đi lại</t>
  </si>
  <si>
    <t>AC-1.1: Given SV đã đăng nhập hệ thống, When SV vào mục "Đăng ký phòng", Then hệ thống hiển thị danh sách phòng còn trống.
AC-1.2: Given SV đang đăng ký phòng, When SV tải lên ảnh thẻ SV và CCCD, Then hệ thống lưu và xác nhận hồ sơ đã nộp đủ giấy tờ.
AC-1.3: Given SV đang điền form đăng ký phòng nhưng chưa nhấn "Hoàn tất", When SV cố gắng đóng tab hoặc rời khỏi trang, Then hệ thống hiển thị hộp thoại cảnh báo "Thông tin chưa được lưu, bạn có chắc muốn thoát?" trước khi cho phép rời trang</t>
  </si>
  <si>
    <t>As a SV, 
I want gửi yêu cầu sửa chữa thiết bị trong phòng,
so that báo hỏng hóc kịp thời</t>
  </si>
  <si>
    <t xml:space="preserve">AC-3.1: Given SV phát hiện thiết bị hỏng, When SV tạo yêu cầu sửa chữa, Then hệ thống cho phép chọn loại thiết bị (điện, nước, nội thất)
AC-3.2: Given SV đang tạo yêu cầu sửa chữa, When SV đính kèm ảnh chụp chỗ hỏng, Then hệ thống lưu ảnh kèm theo yêu cầu
</t>
  </si>
  <si>
    <t>As a SV, 
I want thanh toán tiền phòng qua cổng ngân hàng/ví điện tử, 
so that không phải đến tận nơi nộp tiền mặt</t>
  </si>
  <si>
    <t>AC-4.1: Given SV chọn hóa đơn cần thanh toán, When SV chọn cổng thanh toán liên kết, Then hệ thống kết nối và xử lý giao dịch thành công
AC-4.2: Given giao dịch thanh toán thành công, When hệ thống nhận xác nhận từ cổng thanh toán, Then trạng thái hóa đơn cập nhật thành "Đã thanh toán" ngay lập tức
AC-4.3: Given SV đang thực hiện thanh toán, When cổng thanh toán trả về lỗi hoặc giao dịch bị hủy, Then hệ thống giữ nguyên trạng thái "Chưa thanh toán" và hiển thị thông báo lỗi cho SV thử lại</t>
  </si>
  <si>
    <t>As a SV, 
I want nhận thông báo từ BQL qua ứng dụng, 
so that không bỏ lỡ thông tin quan trọng.</t>
  </si>
  <si>
    <t>AC-5.1: Given BQL gửi thông báo mới, When SV đang mở ứng dụng hoặc có kết nối mạng, Then hệ thống hiển thị thông báo đẩy (push notification)
AC-5.2: Given SV muốn xem lại thông báo cũ, When SV mở mục "Lịch sử thông báo", Then hệ thống hiển thị danh sách các thông báo đã gửi trước đó</t>
  </si>
  <si>
    <t>As a SV, 
I want khai báo khách đến thăm, 
so that tuân thủ nội quy ký túc xá</t>
  </si>
  <si>
    <t>AC-6.1: Given SV có khách đến thăm, When SV nhập tên khách và số CCCD khách, Then hệ thống lưu thông tin khai báo.
AC-6.2: Given SV đang khai báo khách, When SV nhập thời gian bắt đầu và kết thúc cuộc thăm, Then hệ thống ghi nhận khung giờ thăm hợp lệ</t>
  </si>
  <si>
    <t>As a SV, 
I want yêu cầu đổi phòng, 
so that giải quyết các lý do chính đáng của bản thân</t>
  </si>
  <si>
    <t>AC-7.1: Given SV muốn đổi phòng, When SV điền form lý do và chọn phòng mong muốn, Then hệ thống ghi nhận yêu cầu đổi phòng
AC-7.2: Given yêu cầu đổi phòng đã được gửi, When hệ thống nhận yêu cầu, Then hệ thống gửi thông báo cho Admin để duyệt</t>
  </si>
  <si>
    <t>AC-8.1: Given SV thuộc diện chính sách đã có hồ sơ xác nhận, When Admin gắn nhãn diện chính sách cho SV đó, Then hệ thống tự động áp dụng % giảm giá tương ứng vào hóa đơn tiếp theo
AC-8.2: Given SV không thuộc diện chính sách nào, When hệ thống tính hóa đơn, Then hóa đơn tính đủ 100% theo bảng giá gốc</t>
  </si>
  <si>
    <t>As a Admin, 
I want quản lý sơ đồ phòng, 
so that nắm bắt tình trạng cư trú</t>
  </si>
  <si>
    <t>AC-9.1: Given Admin mở màn hình sơ đồ phòng, When hệ thống tải dữ liệu, Then các phòng hiển thị màu sắc khác nhau theo trạng thái trống/đầy/đang sửa
AC-9.2: Given Admin đang xem sơ đồ phòng, When Admin click vào 1 phòng, Then hệ thống hiển thị danh sách SV đang ở phòng đó</t>
  </si>
  <si>
    <t>AC-10.1: Given nhân viên kỹ thuật/hành chính có file chỉ số điện nước đã đo, When nhân viên tải file Excel lên hệ thống, Then hệ thống nhập dữ liệu hàng loạt cho các phòng tương ứng
AC-10.2: Given file tải lên sai định dạng hoặc thiếu cột dữ liệu, When hệ thống xử lý file, Then hệ thống báo lỗi cụ thể và không nhập dữ liệu sai</t>
  </si>
  <si>
    <t>As a Admin, 
I want duyệt hồ sơ đăng ký phòng của SV, 
so that kiểm soát việc nhận phòng.</t>
  </si>
  <si>
    <t>AC-11.1: Given có hồ sơ đăng ký phòng chờ duyệt, When Admin chọn "Phê duyệt" hoặc "Từ chối kèm lý do", Then hệ thống cập nhật trạng thái hồ sơ tương ứng
AC-11.2: Given hồ sơ đã được xử lý, When hệ thống cập nhật trạng thái, Then hệ thống tự động gửi email thông báo kết quả cho SV</t>
  </si>
  <si>
    <t>AC-12.1: Given SV vi phạm nội quy, When Admin ghi nhận vi phạm, Then hệ thống lưu nội dung vi phạm và hình thức xử lý
AC-12.2: Given hệ thống có kết nối dữ liệu với trường, When vi phạm được ghi nhận, Then hệ thống tự động trừ điểm rèn luyện tương ứng</t>
  </si>
  <si>
    <t>As a Admin, 
I want quản lý vi phạm và kỷ luật của SV,
so that duy trì nội quy ký túc xá.</t>
  </si>
  <si>
    <t>AC-13.1: Given có dữ liệu thu trong tháng, When Admin mở mục "Báo cáo tài chính", Then hệ thống tổng hợp doanh thu từ tiền phòng, điện nước, dịch vụ
AC-13.2: Given Admin đang xem báo cáo, When Admin chọn "Xuất báo cáo", Then hệ thống xuất dữ liệu ra file Excel/PDF</t>
  </si>
  <si>
    <t>AC-15.1: Given nhân viên kỹ thuật/hành chính mở mục quản lý vật tư, When hệ thống tải dữ liệu, Then hệ thống hiển thị số lượng giường, tủ, máy lạnh còn trong kho
AC-15.2: Given có thiết bị được bàn giao cho phòng, When nhân viên kỹ thuật/hành chính ghi nhận bàn giao, Then hệ thống lưu lại lịch sử bàn giao thiết bị cho từng phòng</t>
  </si>
  <si>
    <t>As a SV, 
I want lấy lại mật khẩu qua email khi bị quên, 
so that tiếp tục sử dụng hệ thống.</t>
  </si>
  <si>
    <t>AC-16.1: Given SV quên mật khẩu, When SV nhập email đã đăng ký và yêu cầu đặt lại mật khẩu, Then hệ thống gửi mã OTP hoặc link reset về email đó
AC-16.2: Given SV đã nhận link đặt lại mật khẩu, When SV không sử dụng link sau 15 phút, Then hệ thống vô hiệu hóa link và yêu cầu gửi lại yêu cầu mới</t>
  </si>
  <si>
    <t>AC-17.1: Given có hoạt động công ích đang mở đăng ký, When SV nhấn "Đăng ký tham gia", Then hệ thống ghi nhận SV vào danh sách tham gia hoạt động đó
AC-17.2: Given SV đã hoàn thành hoạt động (được Admin xác nhận điểm danh), When Admin xác nhận hoàn thành, Then hệ thống cộng điểm công ích tương ứng vào tài khoản SV</t>
  </si>
  <si>
    <t>AC-19.1: Given SV tạo mật khẩu mới, When hệ thống lưu mật khẩu, Then mật khẩu phải được băm (hash) bằng thuật toán Bcrypt
AC-19.2: Given dữ liệu CCCD của SV được lưu, When hệ thống ghi vào database, Then dữ liệu CCCD phải được mã hóa</t>
  </si>
  <si>
    <t>As a Admin, 
I want ngăn chặn truy cập trái phép vào trang quản trị, 
so that bảo vệ dữ liệu hệ thống.</t>
  </si>
  <si>
    <t>AC-20.1: Given Admin đăng nhập vào trang quản trị, When Admin nhập đúng tài khoản mật khẩu, Then hệ thống yêu cầu thêm xác thực 2 lớp (2FA)
AC-20.2: Given Admin đang đăng nhập, When Admin không thao tác trong 30 phút, Then hệ thống tự động đăng xuất
AC-20.3: Given Admin nhập sai mật khẩu 5 lần liên tiếp, When Admin thử đăng nhập lần thứ 6, Then hệ thống tạm khóa tài khoản trong 15 phút và không cho đăng nhập</t>
  </si>
  <si>
    <t>AC-28.1: Given người dùng không thao tác, When thời gian không hoạt động vượt 30 phút, Then hệ thống tự động kết thúc phiên làm việc (session)
AC-28.2: Given người dùng đã đăng nhập trên 2 thiết bị, When người dùng cố đăng nhập ở thiết bị thứ 3, Then hệ thống từ chối đăng nhập</t>
  </si>
  <si>
    <t>AC-30.1: Given có yêu cầu sửa chữa mới từ SV, When nhân viên kỹ thuật/hành chính mở danh sách yêu cầu, Then hệ thống hiển thị đầy đủ thông tin yêu cầu kèm ảnh đính kèm
AC-30.2: Given nhân viên kỹ thuật/hành chính đã xử lý xong 1 yêu cầu, When nhân viên cập nhật trạng thái "Đã hoàn thành", Then hệ thống gửi thông báo cho SV đã gửi yêu cầu đó</t>
  </si>
  <si>
    <t>AC-31.1: Given hệ thống phát sinh lỗi trong quá trình vận hành, When lỗi xảy ra, Then hệ thống ghi lại nhật ký lỗi kèm thời gian và mô tả lỗi
AC-31.2: Given người bảo trì mở màn hình nhật ký lỗi, When chọn khoảng thời gian cần xem, Then hệ thống hiển thị danh sách lỗi trong khoảng đó, sắp xếp theo mức độ nghiêm trọng</t>
  </si>
  <si>
    <t>AC-34.1: Given có đề xuất đơn giá mới đang chờ duyệt, When Admin chọn "Phê duyệt", Then hệ thống áp dụng đơn giá mới cho kỳ hóa đơn tiếp theo
AC-34.2: Given Admin từ chối đề xuất, When Admin chọn "Từ chối kèm lý do", Then hệ thống giữ nguyên đơn giá cũ và thông báo cho kế toán</t>
  </si>
  <si>
    <t>REQ-036</t>
  </si>
  <si>
    <t>As a bảo vệ,
I want ghi nhận giờ sinh viên về KTX,
so that hệ thống có dữ liệu để phát hiện các trường hợp về trễ quá giờ giới nghiêm</t>
  </si>
  <si>
    <t>REQ-037</t>
  </si>
  <si>
    <t>As a Admin,
I want xem báo cáo tổng hợp vi phạm về trễ theo SV và theo phòng,
so that phát hiện các trường hợp vi phạm nhiều lần cần nhắc nhở hoặc xử lý kỷ luật</t>
  </si>
  <si>
    <t>AC-36.1: Given SV về KTX sau giờ giới nghiêm quy định (ví dụ sau 23h), When bảo vệ ghi nhận giờ vào cổng của SV đó, Then hệ thống tự động tạo 1 bản ghi vi phạm "Về trễ" gắn với SV đó, kèm thời gian thực tế
AC-36.2: Given hệ thống vừa tạo bản ghi vi phạm "Về trễ", When bản ghi được lưu, Then hệ thống gửi thông báo cảnh báo đến SV đó qua ứng dụng, nêu rõ giờ về và số lần vi phạm trong tháng</t>
  </si>
  <si>
    <t>AC-33.1: Given chỉ số điện nước đã được KTX nhập vào hệ thống, When kế toán mở mục "Tạo hóa đơn tháng", Then hệ thống tự động tính thành tiền theo đơn giá hiện hành
AC-33.2: Given hóa đơn đã được tính, When kế toán xác nhận, Then hệ thống gửi hóa đơn đến SV tương ứng</t>
  </si>
  <si>
    <t>As a Admin,
I want phân quyền truy cập hệ thống theo từng vai trò (bảo vệ, kế toán, kỹ thuật/hành chính, người bảo trì hệ thống),
so that mỗi vai trò chỉ truy cập đúng phạm vi công việc của mình, đảm bảo an toàn thông tin</t>
  </si>
  <si>
    <t>AC-14.1: Given tài khoản bảo vệ đăng nhập, When bảo vệ truy cập hệ thống, Then hệ thống chỉ hiển thị thông tin khách và lịch sử ra vào
AC-14.2: Given tài khoản kế toán đăng nhập, When kế toán truy cập hệ thống, Then hệ thống chỉ hiển thị phần hóa đơn và báo cáo thu chi
AC-14.3: Given tài khoản kỹ thuật/hành chính đăng nhập, When nhân viên truy cập hệ thống, Then hệ thống chỉ hiển thị phần quản lý vật tư và yêu cầu sửa chữa, không hiển thị dữ liệu tài chính hay hồ sơ vi phạm
AC-14.4: Given tài khoản người bảo trì hệ thống đăng nhập, When người bảo trì truy cập hệ thống, Then hệ thống chỉ hiển thị phần nhật ký lỗi (error log) và cảnh báo sự cố, không hiển thị dữ liệu nghiệp vụ (hóa đơn, hồ sơ SV, vi phạm)</t>
  </si>
  <si>
    <t>As a SV, 
I want giao diện hiển thị tốt trên điện thoại di động, 
so that dễ sử dụng mọi lúc mọi nơi</t>
  </si>
  <si>
    <t>As a người dùng, 
I want giao diện dễ sử dụng mà không cần đọc hướng dẫn, 
so that tiết kiệm thời gian làm quen</t>
  </si>
  <si>
    <t>AC-22.1: Given có đợt đăng ký phòng cao điểm, When ít nhất 2.000 người dùng truy cập đồng thời, Then hệ thống vẫn hoạt động ổn định
AC-22.2: Given CPU hệ thống đang quá tải 80%, When lượng truy cập tiếp tục tăng, Then hệ thống không bị crash</t>
  </si>
  <si>
    <t>AC-23.1: Given SV truy cập bằng điện thoại, When màn hình có kích thước bất kỳ, Then giao diện hiển thị responsive tương thích
AC-23.2: Given SV thao tác trên giao diện di động, When SV nhấn các nút chức năng, Then kích thước nút bấm tối thiểu 44x44 pixels</t>
  </si>
  <si>
    <t>AC-24.1: Given người dùng mở hệ thống lần đầu, When người dùng di chuyển giữa các mục, Then các menu chức năng được sắp xếp logic, dễ tìm
AC-24.2: Given người dùng di chuột vào icon phức tạp, When icon đó không có nhãn rõ ràng, Then hệ thống hiển thị tooltip gợi ý</t>
  </si>
  <si>
    <t>AC-21.1: Given người dùng mở bất kỳ trang nào trong hệ thống, When trang được tải, Then thời gian tải trang không quá 2 giây
AC-21.2: Given người dùng gọi 1 API bất kỳ, When hệ thống xử lý yêu cầu, Then thời gian phản hồi API không quá 500ms.</t>
  </si>
  <si>
    <t>As a Admin, 
I want hệ thống hoạt động ổn định 24/7 và dữ liệu luôn an toàn, 
so that không gián đoạn công việc quản lý</t>
  </si>
  <si>
    <t>As a SV,
I want điểm công ích tích lũy được quy đổi thành điểm rèn luyện theo tỷ lệ cố định (10 điểm công ích = 1 điểm rèn luyện, tối đa 5 điểm rèn luyện/kỳ),
so that được ghi nhận chính thức vào hồ sơ học tập, có lợi khi xét học bổng/khen thưởng</t>
  </si>
  <si>
    <t>AC-29.1: Given SV có điểm công ích tích lũy trong học kỳ, When kỳ xét điểm rèn luyện đến hạn, Then hệ thống quy đổi theo tỷ lệ 10 điểm công ích = 1 điểm rèn luyện
AC-29.2: Given điểm rèn luyện quy đổi được đã đạt mức trần 5 điểm/kỳ, When SV tiếp tục tích thêm điểm công ích, Then phần vượt mức không được quy đổi thêm, chỉ lưu để dùng cho kỳ sau
AC-29.3: Given điểm công ích không đủ 10 để quy đổi trọn 1 điểm rèn luyện (VD: dư 7 điểm), When hệ thống tính quy đổi, Then phần dư được giữ lại, cộng dồn sang đợt tính điểm tiếp theo, không làm tròn mất</t>
  </si>
  <si>
    <t>REQ-038</t>
  </si>
  <si>
    <t>As a SV,
I want tự xuất "Giấy xác nhận tham gia hoạt động công ích" của bản thân để nộp cho Phòng Công tác sinh viên,
so that có minh chứng chính thức làm căn cứ cộng điểm rèn luyện vào hồ sơ học tập</t>
  </si>
  <si>
    <t>As a Admin,
I want phê duyệt đề xuất thay đổi đơn giá dịch vụ do kế toán gửi,
so that đảm bảo mức giá mới được kiểm soát trước khi áp dụng</t>
  </si>
  <si>
    <t>AC-27.1: Given người dùng truy cập bằng Chrome, Safari hoặc Edge phiên bản mới nhất, When người dùng sử dụng các chức năng chính, Then hệ thống hiển thị và hoạt động ổn định
AC-27.2: Given người dùng truy cập bằng máy tính hoặc điện thoại (qua trình duyệt web), When màn hình có kích thước khác nhau, Then giao diện web tự động điều chỉnh (responsive) để hiển thị đúng và dùng được trên cả 2 loại thiết bị</t>
  </si>
  <si>
    <t>As a người dùng,
I want hệ thống hoạt động tốt trên các trình duyệt khác nhau,
so that không bị giới hạn thiết bị sử dụng</t>
  </si>
  <si>
    <t>As a kế toán,
I want hệ thống tự động tính tiền điện nước dựa trên chỉ số KTX đã nhập và đơn giá hiện hành,
so that tạo hóa đơn chính xác mà không cần tính tay</t>
  </si>
  <si>
    <t>AC-37.1: Given có dữ liệu vi phạm "Về trễ" trong tháng, When Admin mở mục "Báo cáo vi phạm", Then hệ thống hiển thị danh sách SV kèm số lần vi phạm, sắp xếp giảm dần theo số lần
AC-37.2: Given Admin đang xem báo cáo vi phạm, When Admin chọn lọc theo phòng, Then hệ thống hiển thị số lượt vi phạm tổng hợp theo từng phòng
AC-37.3: Given 1 SV có từ 3 lần vi phạm "Về trễ" trở lên trong tháng, When hệ thống phát hiện đạt ngưỡng, Then hệ thống gửi thông báo cảnh báo riêng cho Admin về trường hợp SV đó</t>
  </si>
  <si>
    <t>AC-18.1: Given kế toán cần cập nhật giá dịch vụ, When kế toán nhập đơn giá mới theo quy định nhà nước, Then hệ thống lưu đề xuất ở trạng thái "Chờ duyệt"
AC-18.2: Given kế toán đã gửi đề xuất đơn giá, When Admin chưa phê duyệt, Then hệ thống không áp dụng đơn giá mới vào bất kỳ hóa đơn nào.</t>
  </si>
  <si>
    <t>As a SV, 
I want xem hóa đơn điện/nước hàng tháng, 
so that biết chi phí cần trả</t>
  </si>
  <si>
    <t>AC-32.1: Given hệ thống ngừng hoạt động ngoài dự kiến, When sự cố xảy ra, Then hệ thống gửi cảnh báo qua email/SMS cho người bảo trì trong vòng 5 phút
AC-32.2: Given quá trình backup định kỳ thất bại, When backup không hoàn tất thành công, Then hệ thống gửi cảnh báo cho người bảo trì ngay lập tức</t>
  </si>
  <si>
    <t>AC-35.1: Given khách đến cổng và xưng tên đến thăm 1 SV, When bảo vệ tra cứu thông tin khai báo trên hệ thống, Then hệ thống hiển thị thông tin khách đã được SV khai báo trước đó (nếu có)
AC-35.2: Given khách đến cổng nhưng không có thông tin khai báo trước, When bảo vệ tra cứu, Then hệ thống báo "Không tìm thấy thông tin khai báo" và bảo vệ liên hệ SV xác minh trực tiếp</t>
  </si>
  <si>
    <t>AC-38.1: Given SV có hoạt động công ích đã được Admin xác nhận hoàn thành, When SV mở mục "Xuất giấy xác nhận", Then hệ thống tạo file PDF gồm: mã số SV, họ tên, danh sách hoạt động đã tham gia, tổng điểm công ích, điểm rèn luyện quy đổi được, kèm chữ ký số của BQL
AC-38.2: Given SV chưa có hoạt động nào được xác nhận hoàn thành, When SV cố xuất giấy xác nhận, Then hệ thống báo "Chưa có hoạt động nào được xác nhận, không thể xuất giấy" và không tạo file</t>
  </si>
  <si>
    <t>AC-25.1: Given hệ thống đang vận hành, When đo trong 1 tháng, Then độ sẵn sàng (uptime) đạt tối thiểu 99.9%
AC-25.2: Given đến 2:00 sáng mỗi ngày, When hệ thống thực hiện tác vụ định kỳ, Then dữ liệu được tự động sao lưu (backup) lên một vị trí lưu trữ an toàn, tách biệt với server chính
AC-25.3: Given có bản sao lưu gần nhất, When Admin thực hiện khôi phục thử (restore test), Then dữ liệu được khôi phục đầy đủ và chính xác.</t>
  </si>
  <si>
    <t>AC-26.1: Given hệ thống đang được phát triển, When lập trình viên thêm 1 chức năng mới, Then không cần chỉnh sửa code của các chức năng khác đã có
AC-26.2: Given hệ thống có các API, When lập trình viên hoàn thiện chức năng, Then tối thiểu 90% API phải có tài liệu mô tả cách sử dụng</t>
  </si>
  <si>
    <t>As a người bảo trì hệ thống,
I want mã nguồn được tổ chức theo mô-đun rõ ràng, tách biệt giữa các chức năng,
so that dễ dàng bảo trì, sửa lỗi và nâng cấp mà không ảnh hưởng đến các chức năng khác</t>
  </si>
  <si>
    <t>As a người bảo trì hệ thống, 
I want mã hóa dữ liệu cá nhân của SV,
so that tránh rò rỉ thông tin.</t>
  </si>
  <si>
    <t>As a người bảo trì hệ thống, 
I want xử lý được lượng lớn truy cập cùng lúc, 
so that không bị gián đoạn khi có đợt đăng ký phòng</t>
  </si>
  <si>
    <t>24/08/2026</t>
  </si>
  <si>
    <t>Khảo sát Persona Phúc An (Sinh viên)</t>
  </si>
  <si>
    <t>Persona Phúc An (Sinh viên)</t>
  </si>
  <si>
    <t>Phỏng vấn Persona Phúc An (Sinh viên)</t>
  </si>
  <si>
    <t>Persona Thầy Quân (Trưởng BQL)</t>
  </si>
  <si>
    <t>Workshop với Thầy Quân (Trưởng BQL)</t>
  </si>
  <si>
    <t>Persona Anh Minh (Kỹ thuật)</t>
  </si>
  <si>
    <t>Persona Chị Linh (Kế toán)</t>
  </si>
  <si>
    <t>Phỏng vấn Anh Minh (Kỹ thuật)</t>
  </si>
  <si>
    <t>Đội ngũ IT (Bảo trì hệ thống)</t>
  </si>
  <si>
    <t>Đội ngũ IT (Phát triển phần mềm)</t>
  </si>
  <si>
    <t>Đội ngũ IT (Server)</t>
  </si>
  <si>
    <t>Đội ngũ IT (Thiết kế UX/UI)</t>
  </si>
  <si>
    <t>Đội ngũ IT (Bảo mật an ninh)</t>
  </si>
  <si>
    <t>Persona Chú Tuấn (Bảo vệ)</t>
  </si>
  <si>
    <t>Phỏng vấn Chú Tuấn (Bảo vệ)</t>
  </si>
  <si>
    <t>DANH SÁCH YÊU CẦU — Nhóm: 3  Đề tài: Hệ thống quản lý kí túc xá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</si>
</sst>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1F4E79"/>
      <name val="Arial"/>
      <charset val="1"/>
    </font>
    <font>
      <i/>
      <sz val="11"/>
      <color rgb="FF666666"/>
      <name val="Arial"/>
      <charset val="1"/>
    </font>
    <font>
      <b/>
      <sz val="11"/>
      <color rgb="FFFFFFFF"/>
      <name val="Arial"/>
      <charset val="1"/>
    </font>
    <font>
      <b/>
      <sz val="11"/>
      <color rgb="FF1F4E79"/>
      <name val="Arial"/>
      <charset val="1"/>
    </font>
    <font>
      <b/>
      <sz val="10"/>
      <name val="Arial"/>
      <charset val="1"/>
    </font>
    <font>
      <sz val="10"/>
      <name val="Arial"/>
      <charset val="1"/>
    </font>
    <font>
      <sz val="11"/>
      <color theme="1"/>
      <name val="Arial"/>
      <family val="2"/>
      <charset val="163"/>
    </font>
  </fonts>
  <fills count="3">
    <fill>
      <patternFill patternType="none"/>
    </fill>
    <fill>
      <patternFill patternType="gray125"/>
    </fill>
    <fill>
      <patternFill patternType="solid">
        <fgColor rgb="FF1F4E79"/>
        <bgColor rgb="FF00336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horizontal="left" vertical="top" wrapText="1"/>
    </xf>
    <xf numFmtId="0" fontId="4" fillId="0" borderId="0" xfId="0" applyFont="1"/>
    <xf numFmtId="0" fontId="5" fillId="0" borderId="0" xfId="0" applyFont="1" applyAlignment="1">
      <alignment horizontal="right"/>
    </xf>
    <xf numFmtId="0" fontId="6" fillId="0" borderId="0" xfId="0" applyFont="1" applyAlignment="1">
      <alignment horizontal="left"/>
    </xf>
    <xf numFmtId="164" fontId="6" fillId="0" borderId="0" xfId="0" applyNumberFormat="1" applyFont="1" applyAlignment="1">
      <alignment horizontal="left"/>
    </xf>
    <xf numFmtId="0" fontId="7" fillId="0" borderId="2" xfId="0" applyFont="1" applyBorder="1" applyAlignment="1">
      <alignment horizontal="left" vertical="top" wrapText="1"/>
    </xf>
    <xf numFmtId="0" fontId="1" fillId="0" borderId="0" xfId="0" applyFont="1"/>
    <xf numFmtId="0" fontId="2" fillId="0" borderId="0" xfId="0" applyFont="1"/>
  </cellXfs>
  <cellStyles count="1">
    <cellStyle name="Normal" xfId="0" builtinId="0"/>
  </cellStyles>
  <dxfs count="1">
    <dxf>
      <fill>
        <patternFill>
          <bgColor rgb="FFFFE4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CE10-9F9A-40A5-A23C-9ABBD734E0CA}">
  <dimension ref="A1:AN49"/>
  <sheetViews>
    <sheetView tabSelected="1" zoomScale="78" zoomScaleNormal="100" workbookViewId="0">
      <selection activeCell="E5" sqref="A4:H42"/>
    </sheetView>
  </sheetViews>
  <sheetFormatPr defaultColWidth="8.6640625" defaultRowHeight="14.4" x14ac:dyDescent="0.3"/>
  <cols>
    <col min="1" max="1" width="10" customWidth="1"/>
    <col min="2" max="2" width="8" customWidth="1"/>
    <col min="3" max="3" width="14" customWidth="1"/>
    <col min="4" max="4" width="35" customWidth="1"/>
    <col min="5" max="5" width="45" customWidth="1"/>
    <col min="6" max="6" width="10" customWidth="1"/>
    <col min="7" max="7" width="22" customWidth="1"/>
    <col min="8" max="8" width="12" customWidth="1"/>
  </cols>
  <sheetData>
    <row r="1" spans="1:16" ht="17.399999999999999" x14ac:dyDescent="0.3">
      <c r="A1" s="9" t="s">
        <v>155</v>
      </c>
      <c r="B1" s="9"/>
      <c r="C1" s="9"/>
      <c r="D1" s="9"/>
      <c r="E1" s="9"/>
      <c r="F1" s="9"/>
      <c r="G1" s="9"/>
      <c r="H1" s="9"/>
    </row>
    <row r="2" spans="1:16" x14ac:dyDescent="0.3">
      <c r="A2" s="10"/>
      <c r="B2" s="10"/>
      <c r="C2" s="10"/>
      <c r="D2" s="10"/>
      <c r="E2" s="10"/>
      <c r="F2" s="10"/>
      <c r="G2" s="10"/>
      <c r="H2" s="10"/>
    </row>
    <row r="4" spans="1:16" ht="15" thickBot="1" x14ac:dyDescent="0.35">
      <c r="A4" s="1" t="s">
        <v>0</v>
      </c>
      <c r="B4" s="1" t="s">
        <v>1</v>
      </c>
      <c r="C4" s="1" t="s">
        <v>2</v>
      </c>
      <c r="D4" s="1" t="s">
        <v>3</v>
      </c>
      <c r="E4" s="1" t="s">
        <v>4</v>
      </c>
      <c r="F4" s="1" t="s">
        <v>5</v>
      </c>
      <c r="G4" s="1" t="s">
        <v>6</v>
      </c>
      <c r="H4" s="1" t="s">
        <v>7</v>
      </c>
    </row>
    <row r="5" spans="1:16" ht="187.8" thickBot="1" x14ac:dyDescent="0.35">
      <c r="A5" s="2" t="s">
        <v>8</v>
      </c>
      <c r="B5" s="2" t="s">
        <v>9</v>
      </c>
      <c r="C5" s="2"/>
      <c r="D5" s="2" t="s">
        <v>73</v>
      </c>
      <c r="E5" s="2" t="s">
        <v>74</v>
      </c>
      <c r="F5" s="2" t="s">
        <v>10</v>
      </c>
      <c r="G5" s="8" t="s">
        <v>140</v>
      </c>
      <c r="H5" s="8" t="s">
        <v>139</v>
      </c>
    </row>
    <row r="6" spans="1:16" ht="100.95" customHeight="1" thickBot="1" x14ac:dyDescent="0.35">
      <c r="A6" s="2" t="s">
        <v>11</v>
      </c>
      <c r="B6" s="2" t="s">
        <v>9</v>
      </c>
      <c r="C6" s="2"/>
      <c r="D6" s="2" t="s">
        <v>130</v>
      </c>
      <c r="E6" s="2" t="s">
        <v>12</v>
      </c>
      <c r="F6" s="2" t="s">
        <v>10</v>
      </c>
      <c r="G6" s="8" t="s">
        <v>141</v>
      </c>
      <c r="H6" s="8" t="s">
        <v>139</v>
      </c>
    </row>
    <row r="7" spans="1:16" ht="115.8" thickBot="1" x14ac:dyDescent="0.35">
      <c r="A7" s="2" t="s">
        <v>13</v>
      </c>
      <c r="B7" s="2" t="s">
        <v>9</v>
      </c>
      <c r="C7" s="2"/>
      <c r="D7" s="2" t="s">
        <v>75</v>
      </c>
      <c r="E7" s="2" t="s">
        <v>76</v>
      </c>
      <c r="F7" s="2" t="s">
        <v>14</v>
      </c>
      <c r="G7" s="8" t="s">
        <v>141</v>
      </c>
      <c r="H7" s="8" t="s">
        <v>139</v>
      </c>
    </row>
    <row r="8" spans="1:16" ht="187.8" thickBot="1" x14ac:dyDescent="0.35">
      <c r="A8" s="2" t="s">
        <v>15</v>
      </c>
      <c r="B8" s="2" t="s">
        <v>9</v>
      </c>
      <c r="C8" s="2"/>
      <c r="D8" s="2" t="s">
        <v>77</v>
      </c>
      <c r="E8" s="2" t="s">
        <v>78</v>
      </c>
      <c r="F8" s="2" t="s">
        <v>10</v>
      </c>
      <c r="G8" s="8" t="s">
        <v>141</v>
      </c>
      <c r="H8" s="8" t="s">
        <v>139</v>
      </c>
    </row>
    <row r="9" spans="1:16" ht="101.4" thickBot="1" x14ac:dyDescent="0.35">
      <c r="A9" s="2" t="s">
        <v>16</v>
      </c>
      <c r="B9" s="2" t="s">
        <v>9</v>
      </c>
      <c r="C9" s="2"/>
      <c r="D9" s="2" t="s">
        <v>79</v>
      </c>
      <c r="E9" s="2" t="s">
        <v>80</v>
      </c>
      <c r="F9" s="2" t="s">
        <v>10</v>
      </c>
      <c r="G9" s="8" t="s">
        <v>141</v>
      </c>
      <c r="H9" s="8" t="s">
        <v>139</v>
      </c>
    </row>
    <row r="10" spans="1:16" ht="101.4" thickBot="1" x14ac:dyDescent="0.35">
      <c r="A10" s="2" t="s">
        <v>17</v>
      </c>
      <c r="B10" s="2" t="s">
        <v>9</v>
      </c>
      <c r="C10" s="2"/>
      <c r="D10" s="2" t="s">
        <v>81</v>
      </c>
      <c r="E10" s="2" t="s">
        <v>82</v>
      </c>
      <c r="F10" s="2" t="s">
        <v>14</v>
      </c>
      <c r="G10" s="8" t="s">
        <v>141</v>
      </c>
      <c r="H10" s="8" t="s">
        <v>139</v>
      </c>
    </row>
    <row r="11" spans="1:16" ht="101.4" thickBot="1" x14ac:dyDescent="0.35">
      <c r="A11" s="2" t="s">
        <v>18</v>
      </c>
      <c r="B11" s="2" t="s">
        <v>9</v>
      </c>
      <c r="C11" s="2"/>
      <c r="D11" s="2" t="s">
        <v>83</v>
      </c>
      <c r="E11" s="2" t="s">
        <v>84</v>
      </c>
      <c r="F11" s="2" t="s">
        <v>19</v>
      </c>
      <c r="G11" s="8" t="s">
        <v>142</v>
      </c>
      <c r="H11" s="8" t="s">
        <v>139</v>
      </c>
    </row>
    <row r="12" spans="1:16" ht="115.8" thickBot="1" x14ac:dyDescent="0.35">
      <c r="A12" s="2" t="s">
        <v>20</v>
      </c>
      <c r="B12" s="2" t="s">
        <v>9</v>
      </c>
      <c r="C12" s="2"/>
      <c r="D12" s="2" t="s">
        <v>21</v>
      </c>
      <c r="E12" s="2" t="s">
        <v>85</v>
      </c>
      <c r="F12" s="2" t="s">
        <v>14</v>
      </c>
      <c r="G12" s="8" t="s">
        <v>143</v>
      </c>
      <c r="H12" s="8" t="s">
        <v>139</v>
      </c>
    </row>
    <row r="13" spans="1:16" ht="115.8" thickBot="1" x14ac:dyDescent="0.35">
      <c r="A13" s="2" t="s">
        <v>22</v>
      </c>
      <c r="B13" s="2" t="s">
        <v>9</v>
      </c>
      <c r="C13" s="2"/>
      <c r="D13" s="2" t="s">
        <v>86</v>
      </c>
      <c r="E13" s="2" t="s">
        <v>87</v>
      </c>
      <c r="F13" s="2" t="s">
        <v>10</v>
      </c>
      <c r="G13" s="8" t="s">
        <v>144</v>
      </c>
      <c r="H13" s="8" t="s">
        <v>139</v>
      </c>
    </row>
    <row r="14" spans="1:16" ht="115.8" thickBot="1" x14ac:dyDescent="0.35">
      <c r="A14" s="2" t="s">
        <v>23</v>
      </c>
      <c r="B14" s="2" t="s">
        <v>9</v>
      </c>
      <c r="C14" s="2"/>
      <c r="D14" s="2" t="s">
        <v>70</v>
      </c>
      <c r="E14" s="2" t="s">
        <v>88</v>
      </c>
      <c r="F14" s="2" t="s">
        <v>10</v>
      </c>
      <c r="G14" s="8" t="s">
        <v>145</v>
      </c>
      <c r="H14" s="8" t="s">
        <v>139</v>
      </c>
    </row>
    <row r="15" spans="1:16" ht="115.8" thickBot="1" x14ac:dyDescent="0.35">
      <c r="A15" s="2" t="s">
        <v>24</v>
      </c>
      <c r="B15" s="2" t="s">
        <v>9</v>
      </c>
      <c r="C15" s="2"/>
      <c r="D15" s="2" t="s">
        <v>89</v>
      </c>
      <c r="E15" s="2" t="s">
        <v>90</v>
      </c>
      <c r="F15" s="2" t="s">
        <v>10</v>
      </c>
      <c r="G15" s="8" t="s">
        <v>143</v>
      </c>
      <c r="H15" s="8" t="s">
        <v>139</v>
      </c>
    </row>
    <row r="16" spans="1:16" ht="101.4" thickBot="1" x14ac:dyDescent="0.35">
      <c r="A16" s="2" t="s">
        <v>25</v>
      </c>
      <c r="B16" s="2" t="s">
        <v>9</v>
      </c>
      <c r="C16" s="2"/>
      <c r="D16" s="2" t="s">
        <v>92</v>
      </c>
      <c r="E16" s="2" t="s">
        <v>91</v>
      </c>
      <c r="F16" s="2" t="s">
        <v>14</v>
      </c>
      <c r="G16" s="8" t="s">
        <v>143</v>
      </c>
      <c r="H16" s="8" t="s">
        <v>139</v>
      </c>
      <c r="I16" s="2"/>
      <c r="J16" s="2"/>
      <c r="K16" s="2"/>
      <c r="L16" s="2"/>
      <c r="M16" s="2"/>
      <c r="N16" s="2"/>
      <c r="O16" s="2"/>
      <c r="P16" s="2"/>
    </row>
    <row r="17" spans="1:24" ht="101.4" thickBot="1" x14ac:dyDescent="0.35">
      <c r="A17" s="2" t="s">
        <v>26</v>
      </c>
      <c r="B17" s="2" t="s">
        <v>9</v>
      </c>
      <c r="C17" s="2"/>
      <c r="D17" s="2" t="s">
        <v>64</v>
      </c>
      <c r="E17" s="2" t="s">
        <v>93</v>
      </c>
      <c r="F17" s="2" t="s">
        <v>10</v>
      </c>
      <c r="G17" s="8" t="s">
        <v>146</v>
      </c>
      <c r="H17" s="8" t="s">
        <v>139</v>
      </c>
      <c r="I17" s="2"/>
      <c r="J17" s="2"/>
      <c r="K17" s="2"/>
      <c r="L17" s="2"/>
      <c r="M17" s="2"/>
      <c r="N17" s="2"/>
      <c r="O17" s="2"/>
      <c r="P17" s="2"/>
    </row>
    <row r="18" spans="1:24" ht="274.2" thickBot="1" x14ac:dyDescent="0.35">
      <c r="A18" s="2" t="s">
        <v>27</v>
      </c>
      <c r="B18" s="2" t="s">
        <v>9</v>
      </c>
      <c r="C18" s="2"/>
      <c r="D18" s="2" t="s">
        <v>111</v>
      </c>
      <c r="E18" s="2" t="s">
        <v>112</v>
      </c>
      <c r="F18" s="2" t="s">
        <v>10</v>
      </c>
      <c r="G18" s="8" t="s">
        <v>144</v>
      </c>
      <c r="H18" s="8" t="s">
        <v>139</v>
      </c>
      <c r="I18" s="2"/>
      <c r="J18" s="2"/>
      <c r="K18" s="2"/>
      <c r="L18" s="2"/>
      <c r="M18" s="2"/>
      <c r="N18" s="2"/>
      <c r="O18" s="2"/>
      <c r="P18" s="2"/>
    </row>
    <row r="19" spans="1:24" ht="130.19999999999999" thickBot="1" x14ac:dyDescent="0.35">
      <c r="A19" s="2" t="s">
        <v>28</v>
      </c>
      <c r="B19" s="2" t="s">
        <v>9</v>
      </c>
      <c r="C19" s="2"/>
      <c r="D19" s="2" t="s">
        <v>71</v>
      </c>
      <c r="E19" s="2" t="s">
        <v>94</v>
      </c>
      <c r="F19" s="2" t="s">
        <v>14</v>
      </c>
      <c r="G19" s="8" t="s">
        <v>147</v>
      </c>
      <c r="H19" s="8" t="s">
        <v>139</v>
      </c>
      <c r="I19" s="2"/>
      <c r="J19" s="2"/>
      <c r="K19" s="2"/>
      <c r="L19" s="2"/>
      <c r="M19" s="2"/>
      <c r="N19" s="2"/>
      <c r="O19" s="2"/>
      <c r="P19" s="2"/>
    </row>
    <row r="20" spans="1:24" ht="114" customHeight="1" thickBot="1" x14ac:dyDescent="0.35">
      <c r="A20" s="2" t="s">
        <v>29</v>
      </c>
      <c r="B20" s="2" t="s">
        <v>9</v>
      </c>
      <c r="C20" s="2"/>
      <c r="D20" s="2" t="s">
        <v>95</v>
      </c>
      <c r="E20" s="2" t="s">
        <v>96</v>
      </c>
      <c r="F20" s="2" t="s">
        <v>10</v>
      </c>
      <c r="G20" s="8" t="s">
        <v>141</v>
      </c>
      <c r="H20" s="8" t="s">
        <v>139</v>
      </c>
      <c r="I20" s="2"/>
      <c r="J20" s="2"/>
      <c r="K20" s="2"/>
      <c r="L20" s="2"/>
      <c r="M20" s="2"/>
      <c r="N20" s="2"/>
      <c r="O20" s="2"/>
      <c r="P20" s="2"/>
    </row>
    <row r="21" spans="1:24" ht="115.8" thickBot="1" x14ac:dyDescent="0.35">
      <c r="A21" s="2" t="s">
        <v>30</v>
      </c>
      <c r="B21" s="2" t="s">
        <v>9</v>
      </c>
      <c r="C21" s="2"/>
      <c r="D21" s="2" t="s">
        <v>31</v>
      </c>
      <c r="E21" s="2" t="s">
        <v>97</v>
      </c>
      <c r="F21" s="2" t="s">
        <v>19</v>
      </c>
      <c r="G21" s="8" t="s">
        <v>141</v>
      </c>
      <c r="H21" s="8" t="s">
        <v>139</v>
      </c>
      <c r="I21" s="2"/>
      <c r="J21" s="2"/>
      <c r="K21" s="2"/>
      <c r="L21" s="2"/>
      <c r="M21" s="2"/>
      <c r="N21" s="2"/>
      <c r="O21" s="2"/>
      <c r="P21" s="2"/>
    </row>
    <row r="22" spans="1:24" ht="115.8" thickBot="1" x14ac:dyDescent="0.35">
      <c r="A22" s="2" t="s">
        <v>32</v>
      </c>
      <c r="B22" s="2" t="s">
        <v>9</v>
      </c>
      <c r="C22" s="2"/>
      <c r="D22" s="2" t="s">
        <v>65</v>
      </c>
      <c r="E22" s="2" t="s">
        <v>129</v>
      </c>
      <c r="F22" s="2" t="s">
        <v>10</v>
      </c>
      <c r="G22" s="8" t="s">
        <v>146</v>
      </c>
      <c r="H22" s="8" t="s">
        <v>139</v>
      </c>
      <c r="I22" s="2"/>
      <c r="J22" s="2"/>
      <c r="K22" s="2"/>
      <c r="L22" s="2"/>
      <c r="M22" s="2"/>
      <c r="N22" s="2"/>
      <c r="O22" s="2"/>
      <c r="P22" s="2"/>
    </row>
    <row r="23" spans="1:24" ht="101.4" thickBot="1" x14ac:dyDescent="0.35">
      <c r="A23" s="2" t="s">
        <v>33</v>
      </c>
      <c r="B23" s="2" t="s">
        <v>34</v>
      </c>
      <c r="C23" s="2" t="s">
        <v>35</v>
      </c>
      <c r="D23" s="2" t="s">
        <v>137</v>
      </c>
      <c r="E23" s="2" t="s">
        <v>98</v>
      </c>
      <c r="F23" s="2" t="s">
        <v>10</v>
      </c>
      <c r="G23" s="8" t="s">
        <v>148</v>
      </c>
      <c r="H23" s="8" t="s">
        <v>139</v>
      </c>
      <c r="I23" s="2"/>
      <c r="J23" s="2"/>
      <c r="K23" s="2"/>
      <c r="L23" s="2"/>
      <c r="M23" s="2"/>
      <c r="N23" s="2"/>
      <c r="O23" s="2"/>
      <c r="P23" s="2"/>
    </row>
    <row r="24" spans="1:24" ht="173.4" thickBot="1" x14ac:dyDescent="0.35">
      <c r="A24" s="2" t="s">
        <v>36</v>
      </c>
      <c r="B24" s="2" t="s">
        <v>34</v>
      </c>
      <c r="C24" s="2" t="s">
        <v>35</v>
      </c>
      <c r="D24" s="2" t="s">
        <v>99</v>
      </c>
      <c r="E24" s="2" t="s">
        <v>100</v>
      </c>
      <c r="F24" s="2" t="s">
        <v>10</v>
      </c>
      <c r="G24" s="8" t="s">
        <v>148</v>
      </c>
      <c r="H24" s="8" t="s">
        <v>139</v>
      </c>
      <c r="I24" s="2"/>
      <c r="J24" s="2"/>
      <c r="K24" s="2"/>
      <c r="L24" s="2"/>
      <c r="M24" s="2"/>
      <c r="N24" s="2"/>
      <c r="O24" s="2"/>
      <c r="P24" s="2"/>
      <c r="Q24" s="3"/>
      <c r="R24" s="3"/>
      <c r="S24" s="3"/>
      <c r="T24" s="3"/>
      <c r="U24" s="3"/>
      <c r="V24" s="3"/>
      <c r="W24" s="3"/>
      <c r="X24" s="3"/>
    </row>
    <row r="25" spans="1:24" ht="101.4" thickBot="1" x14ac:dyDescent="0.35">
      <c r="A25" s="2" t="s">
        <v>37</v>
      </c>
      <c r="B25" s="2" t="s">
        <v>34</v>
      </c>
      <c r="C25" s="2" t="s">
        <v>38</v>
      </c>
      <c r="D25" s="2" t="s">
        <v>39</v>
      </c>
      <c r="E25" s="2" t="s">
        <v>118</v>
      </c>
      <c r="F25" s="2" t="s">
        <v>14</v>
      </c>
      <c r="G25" s="8" t="s">
        <v>149</v>
      </c>
      <c r="H25" s="8" t="s">
        <v>139</v>
      </c>
      <c r="I25" s="2"/>
      <c r="J25" s="2"/>
      <c r="K25" s="2"/>
      <c r="L25" s="2"/>
      <c r="M25" s="2"/>
      <c r="N25" s="2"/>
      <c r="O25" s="2"/>
      <c r="P25" s="2"/>
      <c r="Q25" s="3"/>
      <c r="R25" s="3"/>
      <c r="S25" s="3"/>
      <c r="T25" s="3"/>
      <c r="U25" s="3"/>
      <c r="V25" s="3"/>
      <c r="W25" s="3"/>
      <c r="X25" s="3"/>
    </row>
    <row r="26" spans="1:24" ht="101.4" thickBot="1" x14ac:dyDescent="0.35">
      <c r="A26" s="2" t="s">
        <v>40</v>
      </c>
      <c r="B26" s="2" t="s">
        <v>34</v>
      </c>
      <c r="C26" s="2" t="s">
        <v>38</v>
      </c>
      <c r="D26" s="2" t="s">
        <v>138</v>
      </c>
      <c r="E26" s="2" t="s">
        <v>115</v>
      </c>
      <c r="F26" s="2" t="s">
        <v>14</v>
      </c>
      <c r="G26" s="8" t="s">
        <v>150</v>
      </c>
      <c r="H26" s="8" t="s">
        <v>139</v>
      </c>
      <c r="I26" s="2"/>
      <c r="J26" s="2"/>
      <c r="K26" s="2"/>
      <c r="L26" s="2"/>
      <c r="M26" s="2"/>
      <c r="N26" s="2"/>
      <c r="O26" s="2"/>
      <c r="P26" s="2"/>
      <c r="Q26" s="3"/>
      <c r="R26" s="3"/>
      <c r="S26" s="3"/>
      <c r="T26" s="3"/>
      <c r="U26" s="3"/>
      <c r="V26" s="3"/>
      <c r="W26" s="3"/>
      <c r="X26" s="3"/>
    </row>
    <row r="27" spans="1:24" ht="101.4" thickBot="1" x14ac:dyDescent="0.35">
      <c r="A27" s="2" t="s">
        <v>41</v>
      </c>
      <c r="B27" s="2" t="s">
        <v>34</v>
      </c>
      <c r="C27" s="2" t="s">
        <v>42</v>
      </c>
      <c r="D27" s="2" t="s">
        <v>113</v>
      </c>
      <c r="E27" s="2" t="s">
        <v>116</v>
      </c>
      <c r="F27" s="2" t="s">
        <v>10</v>
      </c>
      <c r="G27" s="8" t="s">
        <v>141</v>
      </c>
      <c r="H27" s="8" t="s">
        <v>139</v>
      </c>
      <c r="I27" s="2"/>
      <c r="J27" s="2"/>
      <c r="K27" s="2"/>
      <c r="L27" s="2"/>
      <c r="M27" s="2"/>
      <c r="N27" s="2"/>
      <c r="O27" s="2"/>
      <c r="P27" s="2"/>
    </row>
    <row r="28" spans="1:24" ht="101.4" thickBot="1" x14ac:dyDescent="0.35">
      <c r="A28" s="2" t="s">
        <v>43</v>
      </c>
      <c r="B28" s="2" t="s">
        <v>34</v>
      </c>
      <c r="C28" s="2" t="s">
        <v>42</v>
      </c>
      <c r="D28" s="2" t="s">
        <v>114</v>
      </c>
      <c r="E28" s="2" t="s">
        <v>117</v>
      </c>
      <c r="F28" s="2" t="s">
        <v>14</v>
      </c>
      <c r="G28" s="8" t="s">
        <v>151</v>
      </c>
      <c r="H28" s="8" t="s">
        <v>139</v>
      </c>
      <c r="I28" s="2"/>
      <c r="J28" s="2"/>
      <c r="K28" s="2"/>
      <c r="L28" s="2"/>
      <c r="M28" s="2"/>
      <c r="N28" s="2"/>
      <c r="O28" s="2"/>
      <c r="P28" s="2"/>
      <c r="Q28" s="3"/>
      <c r="R28" s="3"/>
      <c r="S28" s="3"/>
      <c r="T28" s="3"/>
      <c r="U28" s="3"/>
      <c r="V28" s="3"/>
      <c r="W28" s="3"/>
      <c r="X28" s="3"/>
    </row>
    <row r="29" spans="1:24" ht="173.4" thickBot="1" x14ac:dyDescent="0.35">
      <c r="A29" s="2" t="s">
        <v>44</v>
      </c>
      <c r="B29" s="2" t="s">
        <v>34</v>
      </c>
      <c r="C29" s="2" t="s">
        <v>45</v>
      </c>
      <c r="D29" s="2" t="s">
        <v>119</v>
      </c>
      <c r="E29" s="2" t="s">
        <v>134</v>
      </c>
      <c r="F29" s="2" t="s">
        <v>10</v>
      </c>
      <c r="G29" s="8" t="s">
        <v>148</v>
      </c>
      <c r="H29" s="8" t="s">
        <v>139</v>
      </c>
      <c r="I29" s="2"/>
      <c r="J29" s="2"/>
      <c r="K29" s="2"/>
      <c r="L29" s="2"/>
      <c r="M29" s="2"/>
      <c r="N29" s="2"/>
      <c r="O29" s="2"/>
      <c r="P29" s="2"/>
      <c r="Q29" s="3"/>
      <c r="R29" s="3"/>
      <c r="S29" s="3"/>
      <c r="T29" s="3"/>
      <c r="U29" s="3"/>
      <c r="V29" s="3"/>
      <c r="W29" s="3"/>
      <c r="X29" s="3"/>
    </row>
    <row r="30" spans="1:24" ht="101.4" thickBot="1" x14ac:dyDescent="0.35">
      <c r="A30" s="2" t="s">
        <v>46</v>
      </c>
      <c r="B30" s="2" t="s">
        <v>34</v>
      </c>
      <c r="C30" s="2" t="s">
        <v>47</v>
      </c>
      <c r="D30" s="2" t="s">
        <v>136</v>
      </c>
      <c r="E30" s="2" t="s">
        <v>135</v>
      </c>
      <c r="F30" s="2" t="s">
        <v>14</v>
      </c>
      <c r="G30" s="8" t="s">
        <v>149</v>
      </c>
      <c r="H30" s="8" t="s">
        <v>139</v>
      </c>
      <c r="I30" s="2"/>
      <c r="J30" s="2"/>
      <c r="K30" s="2"/>
      <c r="L30" s="2"/>
      <c r="M30" s="2"/>
      <c r="N30" s="2"/>
      <c r="O30" s="2"/>
      <c r="P30" s="2"/>
      <c r="Q30" s="3"/>
      <c r="R30" s="3"/>
      <c r="S30" s="3"/>
      <c r="T30" s="3"/>
      <c r="U30" s="3"/>
      <c r="V30" s="3"/>
      <c r="W30" s="3"/>
      <c r="X30" s="3"/>
    </row>
    <row r="31" spans="1:24" ht="144.6" thickBot="1" x14ac:dyDescent="0.35">
      <c r="A31" s="2" t="s">
        <v>48</v>
      </c>
      <c r="B31" s="2" t="s">
        <v>34</v>
      </c>
      <c r="C31" s="2" t="s">
        <v>49</v>
      </c>
      <c r="D31" s="2" t="s">
        <v>126</v>
      </c>
      <c r="E31" s="2" t="s">
        <v>125</v>
      </c>
      <c r="F31" s="2" t="s">
        <v>10</v>
      </c>
      <c r="G31" s="8" t="s">
        <v>149</v>
      </c>
      <c r="H31" s="8" t="s">
        <v>139</v>
      </c>
      <c r="I31" s="2"/>
      <c r="J31" s="2"/>
      <c r="K31" s="2"/>
      <c r="L31" s="2"/>
      <c r="M31" s="2"/>
      <c r="N31" s="2"/>
      <c r="O31" s="2"/>
      <c r="P31" s="2"/>
      <c r="Q31" s="3"/>
      <c r="R31" s="3"/>
      <c r="S31" s="3"/>
      <c r="T31" s="3"/>
      <c r="U31" s="3"/>
      <c r="V31" s="3"/>
      <c r="W31" s="3"/>
      <c r="X31" s="3"/>
    </row>
    <row r="32" spans="1:24" ht="101.4" thickBot="1" x14ac:dyDescent="0.35">
      <c r="A32" s="2" t="s">
        <v>50</v>
      </c>
      <c r="B32" s="2" t="s">
        <v>34</v>
      </c>
      <c r="C32" s="2" t="s">
        <v>35</v>
      </c>
      <c r="D32" s="2" t="s">
        <v>51</v>
      </c>
      <c r="E32" s="2" t="s">
        <v>101</v>
      </c>
      <c r="F32" s="2" t="s">
        <v>14</v>
      </c>
      <c r="G32" s="8" t="s">
        <v>152</v>
      </c>
      <c r="H32" s="8" t="s">
        <v>139</v>
      </c>
      <c r="I32" s="2"/>
      <c r="J32" s="2"/>
      <c r="K32" s="2"/>
      <c r="L32" s="2"/>
      <c r="M32" s="2"/>
      <c r="N32" s="2"/>
      <c r="O32" s="2"/>
      <c r="P32" s="2"/>
      <c r="Q32" s="3"/>
      <c r="R32" s="3"/>
      <c r="S32" s="3"/>
      <c r="T32" s="3"/>
      <c r="U32" s="3"/>
      <c r="V32" s="3"/>
      <c r="W32" s="3"/>
      <c r="X32" s="3"/>
    </row>
    <row r="33" spans="1:40" ht="216.6" thickBot="1" x14ac:dyDescent="0.35">
      <c r="A33" s="2" t="s">
        <v>52</v>
      </c>
      <c r="B33" s="2" t="s">
        <v>9</v>
      </c>
      <c r="C33" s="2"/>
      <c r="D33" s="2" t="s">
        <v>120</v>
      </c>
      <c r="E33" s="2" t="s">
        <v>121</v>
      </c>
      <c r="F33" s="2" t="s">
        <v>19</v>
      </c>
      <c r="G33" s="8" t="s">
        <v>141</v>
      </c>
      <c r="H33" s="8" t="s">
        <v>139</v>
      </c>
      <c r="I33" s="2"/>
      <c r="J33" s="2"/>
      <c r="K33" s="2"/>
      <c r="L33" s="2"/>
      <c r="M33" s="2"/>
      <c r="N33" s="2"/>
      <c r="O33" s="2"/>
      <c r="P33" s="2"/>
      <c r="Q33" s="3"/>
      <c r="R33" s="3"/>
      <c r="S33" s="3"/>
      <c r="T33" s="3"/>
      <c r="U33" s="3"/>
      <c r="V33" s="3"/>
      <c r="W33" s="3"/>
      <c r="X33" s="3"/>
    </row>
    <row r="34" spans="1:40" ht="130.19999999999999" thickBot="1" x14ac:dyDescent="0.35">
      <c r="A34" s="2" t="s">
        <v>53</v>
      </c>
      <c r="B34" s="2" t="s">
        <v>9</v>
      </c>
      <c r="C34" s="2"/>
      <c r="D34" s="2" t="s">
        <v>72</v>
      </c>
      <c r="E34" s="2" t="s">
        <v>102</v>
      </c>
      <c r="F34" s="2" t="s">
        <v>10</v>
      </c>
      <c r="G34" s="8" t="s">
        <v>145</v>
      </c>
      <c r="H34" s="8" t="s">
        <v>139</v>
      </c>
      <c r="I34" s="2"/>
      <c r="J34" s="2"/>
      <c r="K34" s="2"/>
      <c r="L34" s="2"/>
      <c r="M34" s="2"/>
      <c r="N34" s="2"/>
      <c r="O34" s="2"/>
      <c r="P34" s="2"/>
    </row>
    <row r="35" spans="1:40" ht="115.8" thickBot="1" x14ac:dyDescent="0.35">
      <c r="A35" s="2" t="s">
        <v>54</v>
      </c>
      <c r="B35" s="2" t="s">
        <v>9</v>
      </c>
      <c r="C35" s="2"/>
      <c r="D35" s="2" t="s">
        <v>55</v>
      </c>
      <c r="E35" s="2" t="s">
        <v>103</v>
      </c>
      <c r="F35" s="2" t="s">
        <v>14</v>
      </c>
      <c r="G35" s="8" t="s">
        <v>148</v>
      </c>
      <c r="H35" s="8" t="s">
        <v>139</v>
      </c>
    </row>
    <row r="36" spans="1:40" ht="115.2" customHeight="1" thickBot="1" x14ac:dyDescent="0.35">
      <c r="A36" s="2" t="s">
        <v>56</v>
      </c>
      <c r="B36" s="2" t="s">
        <v>9</v>
      </c>
      <c r="C36" s="2"/>
      <c r="D36" s="2" t="s">
        <v>57</v>
      </c>
      <c r="E36" s="2" t="s">
        <v>131</v>
      </c>
      <c r="F36" s="2" t="s">
        <v>14</v>
      </c>
      <c r="G36" s="8" t="s">
        <v>150</v>
      </c>
      <c r="H36" s="8" t="s">
        <v>139</v>
      </c>
      <c r="I36" s="3"/>
      <c r="J36" s="3"/>
      <c r="K36" s="3"/>
      <c r="L36" s="3"/>
      <c r="M36" s="3"/>
      <c r="N36" s="3"/>
      <c r="O36" s="3"/>
      <c r="P36" s="3"/>
    </row>
    <row r="37" spans="1:40" ht="115.8" thickBot="1" x14ac:dyDescent="0.35">
      <c r="A37" s="2" t="s">
        <v>66</v>
      </c>
      <c r="B37" s="2" t="s">
        <v>9</v>
      </c>
      <c r="C37" s="2"/>
      <c r="D37" s="2" t="s">
        <v>127</v>
      </c>
      <c r="E37" s="2" t="s">
        <v>110</v>
      </c>
      <c r="F37" s="2" t="s">
        <v>10</v>
      </c>
      <c r="G37" s="8" t="s">
        <v>146</v>
      </c>
      <c r="H37" s="8" t="s">
        <v>139</v>
      </c>
      <c r="I37" s="3"/>
      <c r="J37" s="3"/>
      <c r="K37" s="3"/>
      <c r="L37" s="3"/>
      <c r="M37" s="3"/>
      <c r="N37" s="3"/>
      <c r="O37" s="3"/>
      <c r="P37" s="3"/>
    </row>
    <row r="38" spans="1:40" ht="101.4" thickBot="1" x14ac:dyDescent="0.35">
      <c r="A38" s="2" t="s">
        <v>67</v>
      </c>
      <c r="B38" s="2" t="s">
        <v>9</v>
      </c>
      <c r="C38" s="2"/>
      <c r="D38" s="2" t="s">
        <v>124</v>
      </c>
      <c r="E38" s="2" t="s">
        <v>104</v>
      </c>
      <c r="F38" s="2" t="s">
        <v>10</v>
      </c>
      <c r="G38" s="8" t="s">
        <v>144</v>
      </c>
      <c r="H38" s="8" t="s">
        <v>139</v>
      </c>
      <c r="I38" s="3"/>
      <c r="J38" s="3"/>
      <c r="K38" s="3"/>
      <c r="L38" s="3"/>
      <c r="M38" s="3"/>
      <c r="N38" s="3"/>
      <c r="O38" s="3"/>
      <c r="P38" s="3"/>
      <c r="Q38" s="3"/>
      <c r="R38" s="3"/>
      <c r="S38" s="3"/>
      <c r="T38" s="3"/>
      <c r="U38" s="3"/>
      <c r="V38" s="3"/>
      <c r="W38" s="3"/>
      <c r="X38" s="3"/>
    </row>
    <row r="39" spans="1:40" ht="130.19999999999999" thickBot="1" x14ac:dyDescent="0.35">
      <c r="A39" s="2" t="s">
        <v>68</v>
      </c>
      <c r="B39" s="2" t="s">
        <v>9</v>
      </c>
      <c r="C39" s="2"/>
      <c r="D39" s="2" t="s">
        <v>69</v>
      </c>
      <c r="E39" s="2" t="s">
        <v>132</v>
      </c>
      <c r="F39" s="2" t="s">
        <v>14</v>
      </c>
      <c r="G39" s="8" t="s">
        <v>153</v>
      </c>
      <c r="H39" s="8" t="s">
        <v>139</v>
      </c>
      <c r="I39" s="3"/>
      <c r="J39" s="3"/>
      <c r="K39" s="3"/>
      <c r="L39" s="3"/>
      <c r="M39" s="3"/>
      <c r="N39" s="3"/>
      <c r="O39" s="3"/>
      <c r="P39" s="3"/>
      <c r="Q39" s="3"/>
      <c r="R39" s="3"/>
      <c r="S39" s="3"/>
      <c r="T39" s="3"/>
      <c r="U39" s="3"/>
      <c r="V39" s="3"/>
      <c r="W39" s="3"/>
      <c r="X39" s="3"/>
    </row>
    <row r="40" spans="1:40" ht="130.19999999999999" thickBot="1" x14ac:dyDescent="0.35">
      <c r="A40" s="2" t="s">
        <v>105</v>
      </c>
      <c r="B40" s="2" t="s">
        <v>9</v>
      </c>
      <c r="C40" s="2"/>
      <c r="D40" s="2" t="s">
        <v>106</v>
      </c>
      <c r="E40" s="2" t="s">
        <v>109</v>
      </c>
      <c r="F40" s="2" t="s">
        <v>10</v>
      </c>
      <c r="G40" s="8" t="s">
        <v>154</v>
      </c>
      <c r="H40" s="8" t="s">
        <v>139</v>
      </c>
      <c r="I40" s="3"/>
      <c r="J40" s="3"/>
      <c r="K40" s="3"/>
      <c r="L40" s="3"/>
      <c r="M40" s="3"/>
      <c r="N40" s="3"/>
      <c r="O40" s="3"/>
      <c r="P40" s="3"/>
      <c r="Q40" s="3"/>
      <c r="R40" s="3"/>
      <c r="S40" s="3"/>
      <c r="T40" s="3"/>
      <c r="U40" s="3"/>
      <c r="V40" s="3"/>
      <c r="W40" s="3"/>
      <c r="X40" s="3"/>
      <c r="Y40" s="3"/>
      <c r="Z40" s="3"/>
      <c r="AA40" s="3"/>
      <c r="AB40" s="3"/>
      <c r="AC40" s="3"/>
      <c r="AD40" s="3"/>
      <c r="AE40" s="3"/>
      <c r="AF40" s="3"/>
    </row>
    <row r="41" spans="1:40" ht="187.8" thickBot="1" x14ac:dyDescent="0.35">
      <c r="A41" s="2" t="s">
        <v>107</v>
      </c>
      <c r="B41" s="2" t="s">
        <v>9</v>
      </c>
      <c r="C41" s="2"/>
      <c r="D41" s="2" t="s">
        <v>108</v>
      </c>
      <c r="E41" s="2" t="s">
        <v>128</v>
      </c>
      <c r="F41" s="2" t="s">
        <v>19</v>
      </c>
      <c r="G41" s="8" t="s">
        <v>143</v>
      </c>
      <c r="H41" s="8" t="s">
        <v>139</v>
      </c>
      <c r="I41" s="2"/>
      <c r="J41" s="2"/>
      <c r="K41" s="2"/>
      <c r="L41" s="2"/>
      <c r="M41" s="2"/>
      <c r="N41" s="2"/>
      <c r="O41" s="2"/>
      <c r="P41" s="2"/>
      <c r="Q41" s="3"/>
      <c r="R41" s="3"/>
      <c r="S41" s="3"/>
      <c r="T41" s="3"/>
      <c r="U41" s="3"/>
      <c r="V41" s="3"/>
      <c r="W41" s="3"/>
      <c r="X41" s="3"/>
      <c r="Y41" s="3"/>
      <c r="Z41" s="3"/>
      <c r="AA41" s="3"/>
      <c r="AB41" s="3"/>
      <c r="AC41" s="3"/>
      <c r="AD41" s="3"/>
      <c r="AE41" s="3"/>
      <c r="AF41" s="3"/>
      <c r="AG41" s="3"/>
      <c r="AH41" s="3"/>
      <c r="AI41" s="3"/>
      <c r="AJ41" s="3"/>
      <c r="AK41" s="3"/>
      <c r="AL41" s="3"/>
      <c r="AM41" s="3"/>
      <c r="AN41" s="3"/>
    </row>
    <row r="42" spans="1:40" ht="159" thickBot="1" x14ac:dyDescent="0.35">
      <c r="A42" s="2" t="s">
        <v>122</v>
      </c>
      <c r="B42" s="2" t="s">
        <v>9</v>
      </c>
      <c r="C42" s="2"/>
      <c r="D42" s="2" t="s">
        <v>123</v>
      </c>
      <c r="E42" s="2" t="s">
        <v>133</v>
      </c>
      <c r="F42" s="2" t="s">
        <v>19</v>
      </c>
      <c r="G42" s="8" t="s">
        <v>141</v>
      </c>
      <c r="H42" s="8" t="s">
        <v>139</v>
      </c>
      <c r="I42" s="3"/>
      <c r="J42" s="3"/>
      <c r="K42" s="3"/>
      <c r="L42" s="3"/>
      <c r="M42" s="3"/>
      <c r="N42" s="3"/>
      <c r="O42" s="3"/>
      <c r="P42" s="3"/>
      <c r="Q42" s="3"/>
      <c r="R42" s="3"/>
      <c r="S42" s="3"/>
      <c r="T42" s="3"/>
      <c r="U42" s="3"/>
      <c r="V42" s="3"/>
      <c r="W42" s="3"/>
      <c r="X42" s="3"/>
      <c r="Y42" s="3"/>
      <c r="Z42" s="3"/>
      <c r="AA42" s="3"/>
      <c r="AB42" s="3"/>
      <c r="AC42" s="3"/>
      <c r="AD42" s="3"/>
      <c r="AE42" s="3"/>
      <c r="AF42" s="3"/>
    </row>
    <row r="44" spans="1:40" x14ac:dyDescent="0.3">
      <c r="A44" s="4" t="s">
        <v>58</v>
      </c>
    </row>
    <row r="45" spans="1:40" x14ac:dyDescent="0.3">
      <c r="A45" s="5" t="s">
        <v>59</v>
      </c>
      <c r="B45" s="6">
        <f>COUNTA(A5:A42)-COUNTBLANK(B5:B34)</f>
        <v>38</v>
      </c>
    </row>
    <row r="46" spans="1:40" x14ac:dyDescent="0.3">
      <c r="A46" s="5" t="s">
        <v>60</v>
      </c>
      <c r="B46" s="6">
        <f>COUNTIF(B5:B42,"F")</f>
        <v>28</v>
      </c>
    </row>
    <row r="47" spans="1:40" x14ac:dyDescent="0.3">
      <c r="A47" s="5" t="s">
        <v>61</v>
      </c>
      <c r="B47" s="6">
        <f>COUNTIF(B5:B42,"NF")</f>
        <v>10</v>
      </c>
    </row>
    <row r="48" spans="1:40" x14ac:dyDescent="0.3">
      <c r="A48" s="5" t="s">
        <v>62</v>
      </c>
      <c r="B48" s="6">
        <f>COUNTIF(F5:F42,"M")</f>
        <v>20</v>
      </c>
    </row>
    <row r="49" spans="1:2" x14ac:dyDescent="0.3">
      <c r="A49" s="5" t="s">
        <v>63</v>
      </c>
      <c r="B49" s="7">
        <f>IF(B45&gt;0,B48/B45,0)</f>
        <v>0.52631578947368418</v>
      </c>
    </row>
  </sheetData>
  <mergeCells count="2">
    <mergeCell ref="A1:H1"/>
    <mergeCell ref="A2:H2"/>
  </mergeCells>
  <conditionalFormatting sqref="B49">
    <cfRule type="cellIs" dxfId="0" priority="1" operator="greaterThan">
      <formula>0.6</formula>
    </cfRule>
  </conditionalFormatting>
  <dataValidations count="3">
    <dataValidation type="list" allowBlank="1" sqref="V24:V26 V28:V33 N16:N34 N36:N42 V38:V42 AL41 AD40:AD42 F5:F42" xr:uid="{8E95142B-A342-45C4-9D5A-2FD5B70904F7}">
      <formula1>"M,S,C,W"</formula1>
      <formula2>0</formula2>
    </dataValidation>
    <dataValidation type="list" allowBlank="1" sqref="S24:S26 S28:S33 K16:K34 K36:K42 S38:S42 AI41 AA40:AA42 C5:C42" xr:uid="{102B7F98-DE93-4C52-B8EF-07B542810F98}">
      <formula1>"Functional Suitability,Performance Efficiency,Compatibility,Usability,Reliability,Security,Maintainability,Portability,-"</formula1>
      <formula2>0</formula2>
    </dataValidation>
    <dataValidation type="list" allowBlank="1" sqref="R24:R26 R28:R33 J16:J34 J36:J42 R38:R42 AH41 Z40:Z42 B5:B42" xr:uid="{CB7C9826-B13B-4A0A-A5D7-CACE9EE8620E}">
      <formula1>"F,NF,X"</formula1>
      <formula2>0</formula2>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Linh Phan</dc:creator>
  <cp:lastModifiedBy>Thuy Linh Phan</cp:lastModifiedBy>
  <dcterms:created xsi:type="dcterms:W3CDTF">2026-08-22T15:24:02Z</dcterms:created>
  <dcterms:modified xsi:type="dcterms:W3CDTF">2026-08-25T00:27:00Z</dcterms:modified>
</cp:coreProperties>
</file>